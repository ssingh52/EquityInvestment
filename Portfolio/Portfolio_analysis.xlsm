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Personal\Locker\Portfolio\"/>
    </mc:Choice>
  </mc:AlternateContent>
  <bookViews>
    <workbookView xWindow="0" yWindow="0" windowWidth="20490" windowHeight="7530" activeTab="1"/>
  </bookViews>
  <sheets>
    <sheet name="MarketCap" sheetId="1" r:id="rId1"/>
    <sheet name="Sector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" i="1" l="1"/>
  <c r="I9" i="1" l="1"/>
  <c r="B42" i="1"/>
  <c r="D15" i="2" l="1"/>
  <c r="D3" i="2"/>
  <c r="D4" i="2"/>
  <c r="D5" i="2"/>
  <c r="D6" i="2"/>
  <c r="D7" i="2"/>
  <c r="D8" i="2"/>
  <c r="D9" i="2"/>
  <c r="D10" i="2"/>
  <c r="D11" i="2"/>
  <c r="D12" i="2"/>
  <c r="D13" i="2"/>
  <c r="D14" i="2"/>
  <c r="D16" i="2" l="1"/>
  <c r="L15" i="2" l="1"/>
  <c r="L4" i="2"/>
  <c r="L8" i="2"/>
  <c r="L12" i="2"/>
  <c r="L5" i="2"/>
  <c r="L9" i="2"/>
  <c r="L13" i="2"/>
  <c r="L6" i="2"/>
  <c r="L10" i="2"/>
  <c r="L14" i="2"/>
  <c r="L11" i="2"/>
  <c r="L7" i="2"/>
  <c r="L3" i="2"/>
  <c r="C16" i="2"/>
  <c r="L16" i="2" l="1"/>
  <c r="I5" i="1"/>
  <c r="I4" i="1"/>
  <c r="I10" i="1"/>
  <c r="I21" i="1" s="1"/>
  <c r="I20" i="1"/>
  <c r="I8" i="1" l="1"/>
  <c r="I19" i="1" s="1"/>
  <c r="I22" i="1" s="1"/>
  <c r="I6" i="1" l="1"/>
  <c r="I11" i="1"/>
  <c r="E6" i="1" l="1"/>
  <c r="E10" i="1"/>
  <c r="E14" i="1"/>
  <c r="E18" i="1"/>
  <c r="E22" i="1"/>
  <c r="E26" i="1"/>
  <c r="E30" i="1"/>
  <c r="E34" i="1"/>
  <c r="E38" i="1"/>
  <c r="E3" i="1"/>
  <c r="E7" i="1"/>
  <c r="E11" i="1"/>
  <c r="E15" i="1"/>
  <c r="E19" i="1"/>
  <c r="E23" i="1"/>
  <c r="E27" i="1"/>
  <c r="E31" i="1"/>
  <c r="E35" i="1"/>
  <c r="E39" i="1"/>
  <c r="E5" i="1"/>
  <c r="E9" i="1"/>
  <c r="E13" i="1"/>
  <c r="E17" i="1"/>
  <c r="E21" i="1"/>
  <c r="E25" i="1"/>
  <c r="E29" i="1"/>
  <c r="E33" i="1"/>
  <c r="E37" i="1"/>
  <c r="E41" i="1"/>
  <c r="E4" i="1"/>
  <c r="E8" i="1"/>
  <c r="E12" i="1"/>
  <c r="E16" i="1"/>
  <c r="E20" i="1"/>
  <c r="E24" i="1"/>
  <c r="E28" i="1"/>
  <c r="E32" i="1"/>
  <c r="E36" i="1"/>
  <c r="E40" i="1"/>
  <c r="E2" i="1"/>
  <c r="E42" i="1" l="1"/>
</calcChain>
</file>

<file path=xl/sharedStrings.xml><?xml version="1.0" encoding="utf-8"?>
<sst xmlns="http://schemas.openxmlformats.org/spreadsheetml/2006/main" count="197" uniqueCount="93">
  <si>
    <t>Category</t>
  </si>
  <si>
    <t>Company Name</t>
  </si>
  <si>
    <t>Value At Cost</t>
  </si>
  <si>
    <t>Large Cap</t>
  </si>
  <si>
    <t>Mid Cap</t>
  </si>
  <si>
    <t>Small Cap</t>
  </si>
  <si>
    <t>Number of Companies</t>
  </si>
  <si>
    <t>Portfolio</t>
  </si>
  <si>
    <t>Sum</t>
  </si>
  <si>
    <t>Total</t>
  </si>
  <si>
    <t>MID</t>
  </si>
  <si>
    <t>Fag Bearings</t>
  </si>
  <si>
    <t>Motherson Sumi</t>
  </si>
  <si>
    <t>LARGE</t>
  </si>
  <si>
    <t>Timken</t>
  </si>
  <si>
    <t>Tata Motors</t>
  </si>
  <si>
    <t>SMALL</t>
  </si>
  <si>
    <t>Axis Bank</t>
  </si>
  <si>
    <t>Edelweiss Capital</t>
  </si>
  <si>
    <t>ICICI Bank</t>
  </si>
  <si>
    <t>YES Bank</t>
  </si>
  <si>
    <t>Solar Explosives</t>
  </si>
  <si>
    <t>Cera Sanitaryware</t>
  </si>
  <si>
    <t>Voltas</t>
  </si>
  <si>
    <t>AIA Engineering</t>
  </si>
  <si>
    <t>Grindwell Norton</t>
  </si>
  <si>
    <t>L&amp;T</t>
  </si>
  <si>
    <t>Avanti Feeds</t>
  </si>
  <si>
    <t>Hindustan Unilever</t>
  </si>
  <si>
    <t>ITC</t>
  </si>
  <si>
    <t xml:space="preserve">Hexaware </t>
  </si>
  <si>
    <t>Eclerx</t>
  </si>
  <si>
    <t>HCL Tech</t>
  </si>
  <si>
    <t>Infosys</t>
  </si>
  <si>
    <t>Mindtree</t>
  </si>
  <si>
    <t>Hindustan Zinc</t>
  </si>
  <si>
    <t>Asian Paints</t>
  </si>
  <si>
    <t>Kansai Nerolac</t>
  </si>
  <si>
    <t>Lupin</t>
  </si>
  <si>
    <t>Pfizer</t>
  </si>
  <si>
    <t>Sun Pharma</t>
  </si>
  <si>
    <t>Hindustan Sanitaryware</t>
  </si>
  <si>
    <t>Supreme Industries</t>
  </si>
  <si>
    <t>Neyveli Lignite</t>
  </si>
  <si>
    <t>Power Grid</t>
  </si>
  <si>
    <t>Suzlon</t>
  </si>
  <si>
    <t>Welspun India</t>
  </si>
  <si>
    <t>JBM Auto</t>
  </si>
  <si>
    <t>Index</t>
  </si>
  <si>
    <t>Amara Raja Batteries</t>
  </si>
  <si>
    <t>Grasim</t>
  </si>
  <si>
    <t>Hindusta Media Ventures</t>
  </si>
  <si>
    <t>Minus Suzlon</t>
  </si>
  <si>
    <t>Tube Investments</t>
  </si>
  <si>
    <t>%</t>
  </si>
  <si>
    <t>Sector</t>
  </si>
  <si>
    <t>Auto</t>
  </si>
  <si>
    <t>Banking / Finance</t>
  </si>
  <si>
    <t>IT / Technology</t>
  </si>
  <si>
    <t>Textiles</t>
  </si>
  <si>
    <t>Chemicals</t>
  </si>
  <si>
    <t>FMCG</t>
  </si>
  <si>
    <t>Power</t>
  </si>
  <si>
    <t>Pharma</t>
  </si>
  <si>
    <t>Media / Entertainment</t>
  </si>
  <si>
    <t>IT</t>
  </si>
  <si>
    <t>Mining</t>
  </si>
  <si>
    <t>Metals / Mining</t>
  </si>
  <si>
    <t>Industrial / Agro Chemicals</t>
  </si>
  <si>
    <t>Construction / Real Estate</t>
  </si>
  <si>
    <t>Industrial Goods</t>
  </si>
  <si>
    <t>Diversified</t>
  </si>
  <si>
    <t>Equitas Holdings</t>
  </si>
  <si>
    <t>Supreme</t>
  </si>
  <si>
    <t>HMV</t>
  </si>
  <si>
    <t>Sun</t>
  </si>
  <si>
    <t>Power grid</t>
  </si>
  <si>
    <t>Neyveli</t>
  </si>
  <si>
    <t>Avanti feeds</t>
  </si>
  <si>
    <t>HUL</t>
  </si>
  <si>
    <t>Solar explosives</t>
  </si>
  <si>
    <t>FAG Bearings</t>
  </si>
  <si>
    <t>HSIL</t>
  </si>
  <si>
    <t>HCL</t>
  </si>
  <si>
    <t>Hexaware</t>
  </si>
  <si>
    <t>ICICI</t>
  </si>
  <si>
    <t>Axis</t>
  </si>
  <si>
    <t>Yes Bank</t>
  </si>
  <si>
    <t>Edelweiss</t>
  </si>
  <si>
    <t>Tata motors</t>
  </si>
  <si>
    <t>Motherson sumi</t>
  </si>
  <si>
    <t>Amaron</t>
  </si>
  <si>
    <t>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</si>
</sst>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2" borderId="1" xfId="0" applyFill="1" applyBorder="1"/>
    <xf numFmtId="0" fontId="0" fillId="0" borderId="0" xfId="0" applyFill="1"/>
    <xf numFmtId="0" fontId="0" fillId="2" borderId="0" xfId="0" applyFill="1"/>
    <xf numFmtId="2" fontId="0" fillId="0" borderId="0" xfId="0" applyNumberFormat="1"/>
    <xf numFmtId="2" fontId="1" fillId="0" borderId="0" xfId="0" applyNumberFormat="1" applyFont="1"/>
    <xf numFmtId="0" fontId="0" fillId="3" borderId="0" xfId="0" applyFill="1" applyAlignment="1">
      <alignment horizontal="center"/>
    </xf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ADA-49D0-868D-6C7B3FAE08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ADA-49D0-868D-6C7B3FAE08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8ADA-49D0-868D-6C7B3FAE0807}"/>
              </c:ext>
            </c:extLst>
          </c:dPt>
          <c:dLbls>
            <c:dLbl>
              <c:idx val="0"/>
              <c:layout>
                <c:manualLayout>
                  <c:x val="6.2351049868766405E-2"/>
                  <c:y val="-5.673665791776028E-3"/>
                </c:manualLayout>
              </c:layout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ADA-49D0-868D-6C7B3FAE0807}"/>
                </c:ext>
              </c:extLst>
            </c:dLbl>
            <c:dLbl>
              <c:idx val="1"/>
              <c:layout>
                <c:manualLayout>
                  <c:x val="-0.12163954505686789"/>
                  <c:y val="-7.6374307378244383E-2"/>
                </c:manualLayout>
              </c:layout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DA-49D0-868D-6C7B3FAE0807}"/>
                </c:ext>
              </c:extLst>
            </c:dLbl>
            <c:dLbl>
              <c:idx val="2"/>
              <c:layout>
                <c:manualLayout>
                  <c:x val="-9.9702427821522305E-2"/>
                  <c:y val="2.3110600758238554E-2"/>
                </c:manualLayout>
              </c:layout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ADA-49D0-868D-6C7B3FAE080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1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MarketCap!$H$8:$H$10</c:f>
              <c:strCache>
                <c:ptCount val="3"/>
                <c:pt idx="0">
                  <c:v>Large Cap</c:v>
                </c:pt>
                <c:pt idx="1">
                  <c:v>Mid Cap</c:v>
                </c:pt>
                <c:pt idx="2">
                  <c:v>Small Cap</c:v>
                </c:pt>
              </c:strCache>
            </c:strRef>
          </c:cat>
          <c:val>
            <c:numRef>
              <c:f>MarketCap!$I$8:$I$10</c:f>
              <c:numCache>
                <c:formatCode>General</c:formatCode>
                <c:ptCount val="3"/>
                <c:pt idx="0">
                  <c:v>135427.67000000001</c:v>
                </c:pt>
                <c:pt idx="1">
                  <c:v>398869.72</c:v>
                </c:pt>
                <c:pt idx="2">
                  <c:v>50911.86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DA-49D0-868D-6C7B3FAE080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-minus</a:t>
            </a:r>
            <a:r>
              <a:rPr lang="en-IN" baseline="0"/>
              <a:t> suzlon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411832895888014"/>
          <c:y val="0.16245370370370371"/>
          <c:w val="0.40287467191601051"/>
          <c:h val="0.671457786526684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C22-4149-A235-B534EE2AE1B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C22-4149-A235-B534EE2AE1B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C22-4149-A235-B534EE2AE1B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MarketCap!$H$19:$H$21</c:f>
              <c:strCache>
                <c:ptCount val="3"/>
                <c:pt idx="0">
                  <c:v>Large Cap</c:v>
                </c:pt>
                <c:pt idx="1">
                  <c:v>Mid Cap</c:v>
                </c:pt>
                <c:pt idx="2">
                  <c:v>Small Cap</c:v>
                </c:pt>
              </c:strCache>
            </c:strRef>
          </c:cat>
          <c:val>
            <c:numRef>
              <c:f>MarketCap!$I$19:$I$21</c:f>
              <c:numCache>
                <c:formatCode>General</c:formatCode>
                <c:ptCount val="3"/>
                <c:pt idx="0">
                  <c:v>135427.67000000001</c:v>
                </c:pt>
                <c:pt idx="1">
                  <c:v>144735.96999999997</c:v>
                </c:pt>
                <c:pt idx="2">
                  <c:v>50911.86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E5-4088-956C-06F301C1380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Sectoral Distribution</a:t>
            </a:r>
          </a:p>
        </c:rich>
      </c:tx>
      <c:layout>
        <c:manualLayout>
          <c:xMode val="edge"/>
          <c:yMode val="edge"/>
          <c:x val="3.5731533558305224E-2"/>
          <c:y val="0.493946605670916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134-4EF3-9A4D-639D54A542B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5134-4EF3-9A4D-639D54A542B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134-4EF3-9A4D-639D54A542B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C60-41E8-890F-EA556A0519D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C60-41E8-890F-EA556A0519D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C60-41E8-890F-EA556A0519D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C60-41E8-890F-EA556A0519D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C60-41E8-890F-EA556A0519D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5134-4EF3-9A4D-639D54A542B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134-4EF3-9A4D-639D54A542B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AC60-41E8-890F-EA556A0519D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AC60-41E8-890F-EA556A0519D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AC60-41E8-890F-EA556A0519D9}"/>
              </c:ext>
            </c:extLst>
          </c:dPt>
          <c:dLbls>
            <c:dLbl>
              <c:idx val="0"/>
              <c:layout>
                <c:manualLayout>
                  <c:x val="1.727313631250639E-2"/>
                  <c:y val="5.5569310894787926E-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134-4EF3-9A4D-639D54A542BE}"/>
                </c:ext>
              </c:extLst>
            </c:dLbl>
            <c:dLbl>
              <c:idx val="1"/>
              <c:layout>
                <c:manualLayout>
                  <c:x val="3.1634045744281962E-2"/>
                  <c:y val="-4.3690544523321571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134-4EF3-9A4D-639D54A542BE}"/>
                </c:ext>
              </c:extLst>
            </c:dLbl>
            <c:dLbl>
              <c:idx val="2"/>
              <c:layout>
                <c:manualLayout>
                  <c:x val="5.2834304802808736E-3"/>
                  <c:y val="-3.408386644452497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134-4EF3-9A4D-639D54A542BE}"/>
                </c:ext>
              </c:extLst>
            </c:dLbl>
            <c:dLbl>
              <c:idx val="3"/>
              <c:layout>
                <c:manualLayout>
                  <c:x val="5.0051334492279373E-2"/>
                  <c:y val="-3.1844570654624788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60-41E8-890F-EA556A0519D9}"/>
                </c:ext>
              </c:extLst>
            </c:dLbl>
            <c:dLbl>
              <c:idx val="4"/>
              <c:layout>
                <c:manualLayout>
                  <c:x val="9.9961754780652418E-2"/>
                  <c:y val="2.7292513700402612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C60-41E8-890F-EA556A0519D9}"/>
                </c:ext>
              </c:extLst>
            </c:dLbl>
            <c:dLbl>
              <c:idx val="6"/>
              <c:layout>
                <c:manualLayout>
                  <c:x val="0.12013225619524832"/>
                  <c:y val="4.5515485433265224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C60-41E8-890F-EA556A0519D9}"/>
                </c:ext>
              </c:extLst>
            </c:dLbl>
            <c:dLbl>
              <c:idx val="7"/>
              <c:layout>
                <c:manualLayout>
                  <c:x val="1.3592528206701435E-2"/>
                  <c:y val="4.732008990738279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C60-41E8-890F-EA556A0519D9}"/>
                </c:ext>
              </c:extLst>
            </c:dLbl>
            <c:dLbl>
              <c:idx val="8"/>
              <c:layout>
                <c:manualLayout>
                  <c:x val="-4.8501073729420183E-2"/>
                  <c:y val="-6.5937588495271524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134-4EF3-9A4D-639D54A542BE}"/>
                </c:ext>
              </c:extLst>
            </c:dLbl>
            <c:dLbl>
              <c:idx val="9"/>
              <c:layout>
                <c:manualLayout>
                  <c:x val="-5.788860483348672E-2"/>
                  <c:y val="5.0339542216661336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134-4EF3-9A4D-639D54A542BE}"/>
                </c:ext>
              </c:extLst>
            </c:dLbl>
            <c:dLbl>
              <c:idx val="12"/>
              <c:layout>
                <c:manualLayout>
                  <c:x val="4.4977877765279339E-2"/>
                  <c:y val="-5.0315138493670031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C60-41E8-890F-EA556A0519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Sectors!$B$3:$B$15</c:f>
              <c:strCache>
                <c:ptCount val="13"/>
                <c:pt idx="0">
                  <c:v>Auto</c:v>
                </c:pt>
                <c:pt idx="1">
                  <c:v>Banking / Finance</c:v>
                </c:pt>
                <c:pt idx="2">
                  <c:v>IT / Technology</c:v>
                </c:pt>
                <c:pt idx="3">
                  <c:v>Construction / Real Estate</c:v>
                </c:pt>
                <c:pt idx="4">
                  <c:v>Industrial Goods</c:v>
                </c:pt>
                <c:pt idx="5">
                  <c:v>Textiles</c:v>
                </c:pt>
                <c:pt idx="6">
                  <c:v>Industrial / Agro Chemicals</c:v>
                </c:pt>
                <c:pt idx="7">
                  <c:v>FMCG</c:v>
                </c:pt>
                <c:pt idx="8">
                  <c:v>Power</c:v>
                </c:pt>
                <c:pt idx="9">
                  <c:v>Pharma</c:v>
                </c:pt>
                <c:pt idx="10">
                  <c:v>Media / Entertainment</c:v>
                </c:pt>
                <c:pt idx="11">
                  <c:v>Metals / Mining</c:v>
                </c:pt>
                <c:pt idx="12">
                  <c:v>Diversified</c:v>
                </c:pt>
              </c:strCache>
            </c:strRef>
          </c:cat>
          <c:val>
            <c:numRef>
              <c:f>Sectors!$D$3:$D$15</c:f>
              <c:numCache>
                <c:formatCode>General</c:formatCode>
                <c:ptCount val="13"/>
                <c:pt idx="0">
                  <c:v>42163.02</c:v>
                </c:pt>
                <c:pt idx="1">
                  <c:v>61419.06</c:v>
                </c:pt>
                <c:pt idx="2">
                  <c:v>65988.33</c:v>
                </c:pt>
                <c:pt idx="3">
                  <c:v>20185.47</c:v>
                </c:pt>
                <c:pt idx="4">
                  <c:v>16530.3</c:v>
                </c:pt>
                <c:pt idx="5">
                  <c:v>15997.8</c:v>
                </c:pt>
                <c:pt idx="6">
                  <c:v>3458.9</c:v>
                </c:pt>
                <c:pt idx="7">
                  <c:v>14370.85</c:v>
                </c:pt>
                <c:pt idx="8">
                  <c:v>269339.5</c:v>
                </c:pt>
                <c:pt idx="9">
                  <c:v>21894.65</c:v>
                </c:pt>
                <c:pt idx="10">
                  <c:v>8171.7</c:v>
                </c:pt>
                <c:pt idx="11">
                  <c:v>10115.629999999999</c:v>
                </c:pt>
                <c:pt idx="12">
                  <c:v>35574.04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34-4EF3-9A4D-639D54A542B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533400</xdr:colOff>
      <xdr:row>1</xdr:row>
      <xdr:rowOff>95250</xdr:rowOff>
    </xdr:from>
    <xdr:to>
      <xdr:col>17</xdr:col>
      <xdr:colOff>228600</xdr:colOff>
      <xdr:row>15</xdr:row>
      <xdr:rowOff>171450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476250</xdr:colOff>
      <xdr:row>17</xdr:row>
      <xdr:rowOff>104775</xdr:rowOff>
    </xdr:from>
    <xdr:to>
      <xdr:col>17</xdr:col>
      <xdr:colOff>171450</xdr:colOff>
      <xdr:row>31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514351</xdr:colOff>
      <xdr:row>16</xdr:row>
      <xdr:rowOff>180974</xdr:rowOff>
    </xdr:from>
    <xdr:to>
      <xdr:col>11</xdr:col>
      <xdr:colOff>381001</xdr:colOff>
      <xdr:row>37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42"/>
  <sheetViews>
    <sheetView topLeftCell="A19" workbookViewId="0">
      <selection activeCell="B38" sqref="B38"/>
    </sheetView>
  </sheetViews>
  <sheetFormatPr defaultRowHeight="15" x14ac:dyDescent="0.25"/>
  <cols>
    <col min="1" max="1" width="23.85546875" bestFit="1" customWidth="1"/>
    <col min="2" max="2" width="12.85546875" bestFit="1" customWidth="1"/>
    <col min="3" max="3" width="8.85546875" bestFit="1" customWidth="1"/>
    <col min="4" max="4" width="6" bestFit="1" customWidth="1"/>
    <col min="5" max="5" width="6.5703125" style="5" bestFit="1" customWidth="1"/>
    <col min="6" max="6" width="24.140625" bestFit="1" customWidth="1"/>
    <col min="7" max="7" width="12.7109375" customWidth="1"/>
    <col min="8" max="8" width="9.5703125" bestFit="1" customWidth="1"/>
    <col min="9" max="9" width="12.7109375" bestFit="1" customWidth="1"/>
  </cols>
  <sheetData>
    <row r="1" spans="1:9" x14ac:dyDescent="0.25">
      <c r="A1" s="1" t="s">
        <v>1</v>
      </c>
      <c r="B1" s="1" t="s">
        <v>2</v>
      </c>
      <c r="C1" s="1" t="s">
        <v>0</v>
      </c>
      <c r="D1" s="1" t="s">
        <v>48</v>
      </c>
      <c r="E1" s="6" t="s">
        <v>54</v>
      </c>
      <c r="F1" s="1" t="s">
        <v>55</v>
      </c>
    </row>
    <row r="2" spans="1:9" x14ac:dyDescent="0.25">
      <c r="A2" t="s">
        <v>15</v>
      </c>
      <c r="B2">
        <v>10417.4</v>
      </c>
      <c r="C2" t="s">
        <v>13</v>
      </c>
      <c r="D2">
        <v>1</v>
      </c>
      <c r="E2" s="5">
        <f>B2/$I$11*100</f>
        <v>1.7801154031656199</v>
      </c>
      <c r="F2" t="s">
        <v>56</v>
      </c>
      <c r="H2" s="7" t="s">
        <v>6</v>
      </c>
      <c r="I2" s="7"/>
    </row>
    <row r="3" spans="1:9" x14ac:dyDescent="0.25">
      <c r="A3" s="3" t="s">
        <v>12</v>
      </c>
      <c r="B3" s="3">
        <v>8224.74</v>
      </c>
      <c r="C3" s="3" t="s">
        <v>13</v>
      </c>
      <c r="D3" s="3">
        <v>2</v>
      </c>
      <c r="E3" s="5">
        <f t="shared" ref="E3:E41" si="0">B3/$I$11*100</f>
        <v>1.4054357479824524</v>
      </c>
      <c r="F3" t="s">
        <v>56</v>
      </c>
      <c r="H3" t="s">
        <v>3</v>
      </c>
      <c r="I3">
        <v>16</v>
      </c>
    </row>
    <row r="4" spans="1:9" x14ac:dyDescent="0.25">
      <c r="A4" t="s">
        <v>17</v>
      </c>
      <c r="B4">
        <v>8089.44</v>
      </c>
      <c r="C4" t="s">
        <v>13</v>
      </c>
      <c r="D4">
        <v>3</v>
      </c>
      <c r="E4" s="5">
        <f t="shared" si="0"/>
        <v>1.3823158126772603</v>
      </c>
      <c r="F4" t="s">
        <v>57</v>
      </c>
      <c r="H4" t="s">
        <v>4</v>
      </c>
      <c r="I4">
        <f>D33-D17</f>
        <v>16</v>
      </c>
    </row>
    <row r="5" spans="1:9" x14ac:dyDescent="0.25">
      <c r="A5" t="s">
        <v>19</v>
      </c>
      <c r="B5">
        <v>10361.200000000001</v>
      </c>
      <c r="C5" t="s">
        <v>13</v>
      </c>
      <c r="D5">
        <v>4</v>
      </c>
      <c r="E5" s="5">
        <f t="shared" si="0"/>
        <v>1.7705120006219999</v>
      </c>
      <c r="F5" t="s">
        <v>57</v>
      </c>
      <c r="H5" t="s">
        <v>5</v>
      </c>
      <c r="I5">
        <f>D41-D33</f>
        <v>8</v>
      </c>
    </row>
    <row r="6" spans="1:9" x14ac:dyDescent="0.25">
      <c r="A6" t="s">
        <v>20</v>
      </c>
      <c r="B6">
        <v>10681.2</v>
      </c>
      <c r="C6" t="s">
        <v>13</v>
      </c>
      <c r="D6" s="3">
        <v>5</v>
      </c>
      <c r="E6" s="5">
        <f t="shared" si="0"/>
        <v>1.8251932962440358</v>
      </c>
      <c r="F6" t="s">
        <v>57</v>
      </c>
      <c r="H6" s="2" t="s">
        <v>9</v>
      </c>
      <c r="I6" s="2">
        <f>SUM(I3:I5)</f>
        <v>40</v>
      </c>
    </row>
    <row r="7" spans="1:9" x14ac:dyDescent="0.25">
      <c r="A7" t="s">
        <v>26</v>
      </c>
      <c r="B7">
        <v>5931.12</v>
      </c>
      <c r="C7" t="s">
        <v>13</v>
      </c>
      <c r="D7">
        <v>6</v>
      </c>
      <c r="E7" s="5">
        <f t="shared" si="0"/>
        <v>1.0135041440305326</v>
      </c>
      <c r="F7" t="s">
        <v>71</v>
      </c>
      <c r="H7" s="7" t="s">
        <v>7</v>
      </c>
      <c r="I7" s="7"/>
    </row>
    <row r="8" spans="1:9" x14ac:dyDescent="0.25">
      <c r="A8" t="s">
        <v>28</v>
      </c>
      <c r="B8">
        <v>1822.92</v>
      </c>
      <c r="C8" t="s">
        <v>13</v>
      </c>
      <c r="D8">
        <v>7</v>
      </c>
      <c r="E8" s="5">
        <f t="shared" si="0"/>
        <v>0.31149883567288111</v>
      </c>
      <c r="F8" t="s">
        <v>61</v>
      </c>
      <c r="H8" t="s">
        <v>3</v>
      </c>
      <c r="I8">
        <f>SUM(B2:B17)</f>
        <v>135427.67000000001</v>
      </c>
    </row>
    <row r="9" spans="1:9" x14ac:dyDescent="0.25">
      <c r="A9" t="s">
        <v>29</v>
      </c>
      <c r="B9">
        <v>1794.5</v>
      </c>
      <c r="C9" t="s">
        <v>13</v>
      </c>
      <c r="D9" s="3">
        <v>8</v>
      </c>
      <c r="E9" s="5">
        <f t="shared" si="0"/>
        <v>0.30664245310544902</v>
      </c>
      <c r="F9" t="s">
        <v>61</v>
      </c>
      <c r="H9" t="s">
        <v>4</v>
      </c>
      <c r="I9">
        <f>SUM(B18:B34)</f>
        <v>398869.72</v>
      </c>
    </row>
    <row r="10" spans="1:9" x14ac:dyDescent="0.25">
      <c r="A10" t="s">
        <v>32</v>
      </c>
      <c r="B10">
        <v>16376.4</v>
      </c>
      <c r="C10" t="s">
        <v>13</v>
      </c>
      <c r="D10">
        <v>9</v>
      </c>
      <c r="E10" s="5">
        <f t="shared" si="0"/>
        <v>2.7983836550772225</v>
      </c>
      <c r="F10" t="s">
        <v>65</v>
      </c>
      <c r="H10" t="s">
        <v>5</v>
      </c>
      <c r="I10">
        <f>SUM(B35:B41)</f>
        <v>50911.86</v>
      </c>
    </row>
    <row r="11" spans="1:9" x14ac:dyDescent="0.25">
      <c r="A11" t="s">
        <v>33</v>
      </c>
      <c r="B11">
        <v>13584.6</v>
      </c>
      <c r="C11" t="s">
        <v>13</v>
      </c>
      <c r="D11">
        <v>10</v>
      </c>
      <c r="E11" s="5">
        <f t="shared" si="0"/>
        <v>2.3213235265847216</v>
      </c>
      <c r="F11" t="s">
        <v>65</v>
      </c>
      <c r="H11" s="2" t="s">
        <v>8</v>
      </c>
      <c r="I11" s="2">
        <f>SUM(I8:I10)</f>
        <v>585209.25</v>
      </c>
    </row>
    <row r="12" spans="1:9" x14ac:dyDescent="0.25">
      <c r="A12" t="s">
        <v>35</v>
      </c>
      <c r="B12">
        <v>10115.629999999999</v>
      </c>
      <c r="C12" t="s">
        <v>13</v>
      </c>
      <c r="D12" s="3">
        <v>11</v>
      </c>
      <c r="E12" s="5">
        <f t="shared" si="0"/>
        <v>1.7285492326035514</v>
      </c>
      <c r="F12" t="s">
        <v>66</v>
      </c>
    </row>
    <row r="13" spans="1:9" x14ac:dyDescent="0.25">
      <c r="A13" t="s">
        <v>36</v>
      </c>
      <c r="B13">
        <v>5595.8</v>
      </c>
      <c r="C13" t="s">
        <v>13</v>
      </c>
      <c r="D13">
        <v>12</v>
      </c>
      <c r="E13" s="5">
        <f t="shared" si="0"/>
        <v>0.95620498138059162</v>
      </c>
      <c r="F13" t="s">
        <v>69</v>
      </c>
    </row>
    <row r="14" spans="1:9" x14ac:dyDescent="0.25">
      <c r="A14" t="s">
        <v>38</v>
      </c>
      <c r="B14">
        <v>7966.85</v>
      </c>
      <c r="C14" t="s">
        <v>13</v>
      </c>
      <c r="D14">
        <v>13</v>
      </c>
      <c r="E14" s="5">
        <f t="shared" si="0"/>
        <v>1.3613677500825558</v>
      </c>
      <c r="F14" t="s">
        <v>63</v>
      </c>
    </row>
    <row r="15" spans="1:9" x14ac:dyDescent="0.25">
      <c r="A15" t="s">
        <v>40</v>
      </c>
      <c r="B15">
        <v>5519.76</v>
      </c>
      <c r="C15" t="s">
        <v>13</v>
      </c>
      <c r="D15" s="3">
        <v>14</v>
      </c>
      <c r="E15" s="5">
        <f t="shared" si="0"/>
        <v>0.94321133850840533</v>
      </c>
      <c r="F15" t="s">
        <v>63</v>
      </c>
    </row>
    <row r="16" spans="1:9" x14ac:dyDescent="0.25">
      <c r="A16" t="s">
        <v>44</v>
      </c>
      <c r="B16">
        <v>10299.969999999999</v>
      </c>
      <c r="C16" t="s">
        <v>13</v>
      </c>
      <c r="D16">
        <v>15</v>
      </c>
      <c r="E16" s="5">
        <f t="shared" si="0"/>
        <v>1.7600490764628207</v>
      </c>
      <c r="F16" t="s">
        <v>62</v>
      </c>
    </row>
    <row r="17" spans="1:9" x14ac:dyDescent="0.25">
      <c r="A17" t="s">
        <v>50</v>
      </c>
      <c r="B17">
        <v>8646.14</v>
      </c>
      <c r="C17" t="s">
        <v>13</v>
      </c>
      <c r="D17">
        <v>16</v>
      </c>
      <c r="E17" s="5">
        <f t="shared" si="0"/>
        <v>1.477444179154721</v>
      </c>
      <c r="F17" t="s">
        <v>71</v>
      </c>
    </row>
    <row r="18" spans="1:9" x14ac:dyDescent="0.25">
      <c r="A18" t="s">
        <v>11</v>
      </c>
      <c r="B18">
        <v>4009.48</v>
      </c>
      <c r="C18" t="s">
        <v>10</v>
      </c>
      <c r="D18" s="3">
        <v>17</v>
      </c>
      <c r="E18" s="5">
        <f t="shared" si="0"/>
        <v>0.68513612865825335</v>
      </c>
      <c r="F18" t="s">
        <v>70</v>
      </c>
      <c r="I18" t="s">
        <v>52</v>
      </c>
    </row>
    <row r="19" spans="1:9" x14ac:dyDescent="0.25">
      <c r="A19" t="s">
        <v>18</v>
      </c>
      <c r="B19">
        <f>19262.5</f>
        <v>19262.5</v>
      </c>
      <c r="C19" t="s">
        <v>10</v>
      </c>
      <c r="D19">
        <v>18</v>
      </c>
      <c r="E19" s="5">
        <f t="shared" si="0"/>
        <v>3.291557677873342</v>
      </c>
      <c r="F19" t="s">
        <v>57</v>
      </c>
      <c r="H19" t="s">
        <v>3</v>
      </c>
      <c r="I19">
        <f>I8</f>
        <v>135427.67000000001</v>
      </c>
    </row>
    <row r="20" spans="1:9" x14ac:dyDescent="0.25">
      <c r="A20" t="s">
        <v>21</v>
      </c>
      <c r="B20">
        <v>3458.9</v>
      </c>
      <c r="C20" t="s">
        <v>10</v>
      </c>
      <c r="D20">
        <v>19</v>
      </c>
      <c r="E20" s="5">
        <f t="shared" si="0"/>
        <v>0.59105354195956405</v>
      </c>
      <c r="F20" t="s">
        <v>60</v>
      </c>
      <c r="H20" t="s">
        <v>4</v>
      </c>
      <c r="I20">
        <f>I9-B30</f>
        <v>144735.96999999997</v>
      </c>
    </row>
    <row r="21" spans="1:9" x14ac:dyDescent="0.25">
      <c r="A21" t="s">
        <v>23</v>
      </c>
      <c r="B21">
        <v>6069.36</v>
      </c>
      <c r="C21" t="s">
        <v>10</v>
      </c>
      <c r="D21" s="3">
        <v>20</v>
      </c>
      <c r="E21" s="5">
        <f t="shared" si="0"/>
        <v>1.0371264637392523</v>
      </c>
      <c r="F21" t="s">
        <v>71</v>
      </c>
      <c r="H21" t="s">
        <v>5</v>
      </c>
      <c r="I21">
        <f>I10</f>
        <v>50911.86</v>
      </c>
    </row>
    <row r="22" spans="1:9" x14ac:dyDescent="0.25">
      <c r="A22" t="s">
        <v>24</v>
      </c>
      <c r="B22">
        <v>5781.36</v>
      </c>
      <c r="C22" t="s">
        <v>10</v>
      </c>
      <c r="D22">
        <v>21</v>
      </c>
      <c r="E22" s="5">
        <f t="shared" si="0"/>
        <v>0.98791329767941982</v>
      </c>
      <c r="F22" t="s">
        <v>70</v>
      </c>
      <c r="H22" s="2" t="s">
        <v>8</v>
      </c>
      <c r="I22" s="2">
        <f>SUM(I19:I21)</f>
        <v>331075.5</v>
      </c>
    </row>
    <row r="23" spans="1:9" x14ac:dyDescent="0.25">
      <c r="A23" t="s">
        <v>30</v>
      </c>
      <c r="B23">
        <v>10903.38</v>
      </c>
      <c r="C23" t="s">
        <v>10</v>
      </c>
      <c r="D23">
        <v>22</v>
      </c>
      <c r="E23" s="5">
        <f t="shared" si="0"/>
        <v>1.8631592033106108</v>
      </c>
      <c r="F23" t="s">
        <v>65</v>
      </c>
    </row>
    <row r="24" spans="1:9" x14ac:dyDescent="0.25">
      <c r="A24" t="s">
        <v>31</v>
      </c>
      <c r="B24">
        <v>12359.07</v>
      </c>
      <c r="C24" t="s">
        <v>10</v>
      </c>
      <c r="D24" s="3">
        <v>23</v>
      </c>
      <c r="E24" s="5">
        <f t="shared" si="0"/>
        <v>2.1119061258857408</v>
      </c>
      <c r="F24" t="s">
        <v>65</v>
      </c>
    </row>
    <row r="25" spans="1:9" x14ac:dyDescent="0.25">
      <c r="A25" t="s">
        <v>34</v>
      </c>
      <c r="B25">
        <v>12764.88</v>
      </c>
      <c r="C25" t="s">
        <v>10</v>
      </c>
      <c r="D25">
        <v>24</v>
      </c>
      <c r="E25" s="5">
        <f t="shared" si="0"/>
        <v>2.1812505526869237</v>
      </c>
      <c r="F25" t="s">
        <v>65</v>
      </c>
    </row>
    <row r="26" spans="1:9" x14ac:dyDescent="0.25">
      <c r="A26" t="s">
        <v>37</v>
      </c>
      <c r="B26">
        <v>7359.68</v>
      </c>
      <c r="C26" t="s">
        <v>10</v>
      </c>
      <c r="D26">
        <v>25</v>
      </c>
      <c r="E26" s="5">
        <f t="shared" si="0"/>
        <v>1.2576151180112072</v>
      </c>
      <c r="F26" t="s">
        <v>71</v>
      </c>
    </row>
    <row r="27" spans="1:9" x14ac:dyDescent="0.25">
      <c r="A27" t="s">
        <v>39</v>
      </c>
      <c r="B27">
        <v>8408.0400000000009</v>
      </c>
      <c r="C27" t="s">
        <v>10</v>
      </c>
      <c r="D27" s="3">
        <v>26</v>
      </c>
      <c r="E27" s="5">
        <f t="shared" si="0"/>
        <v>1.4367578776309502</v>
      </c>
      <c r="F27" t="s">
        <v>63</v>
      </c>
    </row>
    <row r="28" spans="1:9" x14ac:dyDescent="0.25">
      <c r="A28" t="s">
        <v>42</v>
      </c>
      <c r="B28">
        <v>6657.75</v>
      </c>
      <c r="C28" t="s">
        <v>10</v>
      </c>
      <c r="D28">
        <v>27</v>
      </c>
      <c r="E28" s="5">
        <f t="shared" si="0"/>
        <v>1.1376699872737828</v>
      </c>
      <c r="F28" t="s">
        <v>71</v>
      </c>
    </row>
    <row r="29" spans="1:9" x14ac:dyDescent="0.25">
      <c r="A29" t="s">
        <v>43</v>
      </c>
      <c r="B29">
        <v>4905.78</v>
      </c>
      <c r="C29" t="s">
        <v>10</v>
      </c>
      <c r="D29">
        <v>28</v>
      </c>
      <c r="E29" s="5">
        <f t="shared" si="0"/>
        <v>0.83829502011459989</v>
      </c>
      <c r="F29" t="s">
        <v>62</v>
      </c>
    </row>
    <row r="30" spans="1:9" x14ac:dyDescent="0.25">
      <c r="A30" t="s">
        <v>45</v>
      </c>
      <c r="B30">
        <v>254133.75</v>
      </c>
      <c r="C30" t="s">
        <v>10</v>
      </c>
      <c r="D30" s="3">
        <v>29</v>
      </c>
      <c r="E30" s="5">
        <f t="shared" si="0"/>
        <v>43.426133472770637</v>
      </c>
      <c r="F30" t="s">
        <v>62</v>
      </c>
    </row>
    <row r="31" spans="1:9" x14ac:dyDescent="0.25">
      <c r="A31" t="s">
        <v>46</v>
      </c>
      <c r="B31">
        <v>15997.8</v>
      </c>
      <c r="C31" t="s">
        <v>10</v>
      </c>
      <c r="D31">
        <v>30</v>
      </c>
      <c r="E31" s="5">
        <f t="shared" si="0"/>
        <v>2.7336888471944008</v>
      </c>
      <c r="F31" t="s">
        <v>59</v>
      </c>
    </row>
    <row r="32" spans="1:9" x14ac:dyDescent="0.25">
      <c r="A32" t="s">
        <v>49</v>
      </c>
      <c r="B32">
        <v>909.99</v>
      </c>
      <c r="C32" t="s">
        <v>10</v>
      </c>
      <c r="D32">
        <v>31</v>
      </c>
      <c r="E32" s="5">
        <f t="shared" si="0"/>
        <v>0.15549822563467683</v>
      </c>
      <c r="F32" t="s">
        <v>71</v>
      </c>
    </row>
    <row r="33" spans="1:6" x14ac:dyDescent="0.25">
      <c r="A33" t="s">
        <v>53</v>
      </c>
      <c r="B33">
        <v>12863.28</v>
      </c>
      <c r="C33" t="s">
        <v>10</v>
      </c>
      <c r="D33" s="3">
        <v>32</v>
      </c>
      <c r="E33" s="5">
        <f t="shared" si="0"/>
        <v>2.1980650510906998</v>
      </c>
      <c r="F33" t="s">
        <v>56</v>
      </c>
    </row>
    <row r="34" spans="1:6" x14ac:dyDescent="0.25">
      <c r="A34" t="s">
        <v>72</v>
      </c>
      <c r="B34">
        <v>13024.72</v>
      </c>
      <c r="C34" t="s">
        <v>10</v>
      </c>
      <c r="D34" s="3">
        <v>33</v>
      </c>
      <c r="E34" s="5">
        <f t="shared" si="0"/>
        <v>2.2256517647320164</v>
      </c>
      <c r="F34" t="s">
        <v>57</v>
      </c>
    </row>
    <row r="35" spans="1:6" x14ac:dyDescent="0.25">
      <c r="A35" t="s">
        <v>14</v>
      </c>
      <c r="B35">
        <v>5995</v>
      </c>
      <c r="C35" t="s">
        <v>16</v>
      </c>
      <c r="D35">
        <v>34</v>
      </c>
      <c r="E35" s="5">
        <f t="shared" si="0"/>
        <v>1.0244198976690817</v>
      </c>
      <c r="F35" t="s">
        <v>70</v>
      </c>
    </row>
    <row r="36" spans="1:6" x14ac:dyDescent="0.25">
      <c r="A36" t="s">
        <v>22</v>
      </c>
      <c r="B36">
        <v>8649.4</v>
      </c>
      <c r="C36" t="s">
        <v>16</v>
      </c>
      <c r="D36" s="3">
        <v>35</v>
      </c>
      <c r="E36" s="5">
        <f t="shared" si="0"/>
        <v>1.4780012448538706</v>
      </c>
      <c r="F36" t="s">
        <v>69</v>
      </c>
    </row>
    <row r="37" spans="1:6" x14ac:dyDescent="0.25">
      <c r="A37" t="s">
        <v>25</v>
      </c>
      <c r="B37">
        <v>744.46</v>
      </c>
      <c r="C37" t="s">
        <v>16</v>
      </c>
      <c r="D37">
        <v>36</v>
      </c>
      <c r="E37" s="5">
        <f t="shared" si="0"/>
        <v>0.12721261668369049</v>
      </c>
      <c r="F37" t="s">
        <v>70</v>
      </c>
    </row>
    <row r="38" spans="1:6" x14ac:dyDescent="0.25">
      <c r="A38" t="s">
        <v>27</v>
      </c>
      <c r="B38">
        <v>10753.43</v>
      </c>
      <c r="C38" t="s">
        <v>16</v>
      </c>
      <c r="D38">
        <v>37</v>
      </c>
      <c r="E38" s="5">
        <f t="shared" si="0"/>
        <v>1.8375358899402223</v>
      </c>
      <c r="F38" t="s">
        <v>61</v>
      </c>
    </row>
    <row r="39" spans="1:6" x14ac:dyDescent="0.25">
      <c r="A39" t="s">
        <v>41</v>
      </c>
      <c r="B39">
        <v>5940.27</v>
      </c>
      <c r="C39" t="s">
        <v>16</v>
      </c>
      <c r="D39" s="3">
        <v>38</v>
      </c>
      <c r="E39" s="5">
        <f t="shared" si="0"/>
        <v>1.0150676873272253</v>
      </c>
      <c r="F39" t="s">
        <v>69</v>
      </c>
    </row>
    <row r="40" spans="1:6" x14ac:dyDescent="0.25">
      <c r="A40" t="s">
        <v>47</v>
      </c>
      <c r="B40">
        <v>10657.6</v>
      </c>
      <c r="C40" t="s">
        <v>16</v>
      </c>
      <c r="D40" s="3">
        <v>39</v>
      </c>
      <c r="E40" s="5">
        <f t="shared" si="0"/>
        <v>1.8211605506919106</v>
      </c>
      <c r="F40" t="s">
        <v>56</v>
      </c>
    </row>
    <row r="41" spans="1:6" x14ac:dyDescent="0.25">
      <c r="A41" t="s">
        <v>51</v>
      </c>
      <c r="B41">
        <v>8171.7</v>
      </c>
      <c r="C41" t="s">
        <v>16</v>
      </c>
      <c r="D41">
        <v>40</v>
      </c>
      <c r="E41" s="5">
        <f t="shared" si="0"/>
        <v>1.3963723232330998</v>
      </c>
      <c r="F41" t="s">
        <v>64</v>
      </c>
    </row>
    <row r="42" spans="1:6" x14ac:dyDescent="0.25">
      <c r="B42">
        <f>SUM(B2:B41)</f>
        <v>585209.25</v>
      </c>
      <c r="E42" s="5">
        <f>SUM(E2:E41)</f>
        <v>100.00000000000001</v>
      </c>
    </row>
  </sheetData>
  <sortState ref="A2:D42">
    <sortCondition ref="C1"/>
  </sortState>
  <mergeCells count="2">
    <mergeCell ref="H2:I2"/>
    <mergeCell ref="H7:I7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L16"/>
  <sheetViews>
    <sheetView tabSelected="1" workbookViewId="0">
      <selection activeCell="I11" sqref="I11"/>
    </sheetView>
  </sheetViews>
  <sheetFormatPr defaultRowHeight="15" x14ac:dyDescent="0.25"/>
  <cols>
    <col min="1" max="1" width="3" bestFit="1" customWidth="1"/>
    <col min="2" max="2" width="25.140625" bestFit="1" customWidth="1"/>
    <col min="3" max="3" width="3" bestFit="1" customWidth="1"/>
    <col min="5" max="5" width="16.5703125" bestFit="1" customWidth="1"/>
    <col min="6" max="6" width="17.28515625" bestFit="1" customWidth="1"/>
    <col min="7" max="7" width="14.140625" bestFit="1" customWidth="1"/>
    <col min="8" max="8" width="17" bestFit="1" customWidth="1"/>
    <col min="9" max="9" width="15.7109375" bestFit="1" customWidth="1"/>
    <col min="10" max="10" width="8" bestFit="1" customWidth="1"/>
    <col min="12" max="12" width="6.5703125" bestFit="1" customWidth="1"/>
  </cols>
  <sheetData>
    <row r="2" spans="1:12" x14ac:dyDescent="0.25">
      <c r="A2" t="s">
        <v>92</v>
      </c>
      <c r="B2" s="1" t="s">
        <v>55</v>
      </c>
      <c r="L2" t="s">
        <v>54</v>
      </c>
    </row>
    <row r="3" spans="1:12" x14ac:dyDescent="0.25">
      <c r="A3">
        <v>1</v>
      </c>
      <c r="B3" t="s">
        <v>56</v>
      </c>
      <c r="C3">
        <v>5</v>
      </c>
      <c r="D3">
        <f>MarketCap!B2+MarketCap!B3+MarketCap!B33+MarketCap!B40</f>
        <v>42163.02</v>
      </c>
      <c r="E3" s="8" t="s">
        <v>89</v>
      </c>
      <c r="F3" t="s">
        <v>90</v>
      </c>
      <c r="G3" t="s">
        <v>47</v>
      </c>
      <c r="H3" t="s">
        <v>53</v>
      </c>
      <c r="L3" s="5">
        <f>D3/$D$16*100</f>
        <v>7.2047767529306821</v>
      </c>
    </row>
    <row r="4" spans="1:12" x14ac:dyDescent="0.25">
      <c r="A4">
        <v>2</v>
      </c>
      <c r="B4" t="s">
        <v>57</v>
      </c>
      <c r="C4">
        <v>5</v>
      </c>
      <c r="D4">
        <f>MarketCap!B34+MarketCap!B19+MarketCap!B4+MarketCap!B5+MarketCap!B6</f>
        <v>61419.06</v>
      </c>
      <c r="E4" s="8" t="s">
        <v>85</v>
      </c>
      <c r="F4" s="8" t="s">
        <v>86</v>
      </c>
      <c r="G4" t="s">
        <v>87</v>
      </c>
      <c r="H4" t="s">
        <v>88</v>
      </c>
      <c r="I4" t="s">
        <v>72</v>
      </c>
      <c r="L4" s="5">
        <f t="shared" ref="L4:L15" si="0">D4/$D$16*100</f>
        <v>10.495230552148655</v>
      </c>
    </row>
    <row r="5" spans="1:12" x14ac:dyDescent="0.25">
      <c r="A5">
        <v>3</v>
      </c>
      <c r="B5" t="s">
        <v>58</v>
      </c>
      <c r="C5">
        <v>5</v>
      </c>
      <c r="D5">
        <f>MarketCap!B10+MarketCap!B11+MarketCap!B23+MarketCap!B24+MarketCap!B25</f>
        <v>65988.33</v>
      </c>
      <c r="E5" s="8" t="s">
        <v>83</v>
      </c>
      <c r="F5" s="8" t="s">
        <v>33</v>
      </c>
      <c r="G5" t="s">
        <v>31</v>
      </c>
      <c r="H5" s="4" t="s">
        <v>84</v>
      </c>
      <c r="I5" t="s">
        <v>34</v>
      </c>
      <c r="L5" s="5">
        <f t="shared" si="0"/>
        <v>11.276023063545219</v>
      </c>
    </row>
    <row r="6" spans="1:12" x14ac:dyDescent="0.25">
      <c r="A6">
        <v>4</v>
      </c>
      <c r="B6" t="s">
        <v>69</v>
      </c>
      <c r="C6">
        <v>3</v>
      </c>
      <c r="D6">
        <f>MarketCap!B36+MarketCap!B39+MarketCap!B13</f>
        <v>20185.47</v>
      </c>
      <c r="E6" s="4" t="s">
        <v>82</v>
      </c>
      <c r="F6" s="4" t="s">
        <v>22</v>
      </c>
      <c r="G6" t="s">
        <v>36</v>
      </c>
      <c r="L6" s="5">
        <f t="shared" si="0"/>
        <v>3.4492739135616879</v>
      </c>
    </row>
    <row r="7" spans="1:12" x14ac:dyDescent="0.25">
      <c r="A7">
        <v>5</v>
      </c>
      <c r="B7" t="s">
        <v>70</v>
      </c>
      <c r="C7">
        <v>4</v>
      </c>
      <c r="D7">
        <f>MarketCap!B37+MarketCap!B35+MarketCap!B18+MarketCap!B22</f>
        <v>16530.3</v>
      </c>
      <c r="E7" t="s">
        <v>25</v>
      </c>
      <c r="F7" t="s">
        <v>24</v>
      </c>
      <c r="G7" t="s">
        <v>81</v>
      </c>
      <c r="H7" t="s">
        <v>14</v>
      </c>
      <c r="L7" s="5">
        <f t="shared" si="0"/>
        <v>2.8246819406904451</v>
      </c>
    </row>
    <row r="8" spans="1:12" x14ac:dyDescent="0.25">
      <c r="A8">
        <v>6</v>
      </c>
      <c r="B8" t="s">
        <v>59</v>
      </c>
      <c r="C8">
        <v>1</v>
      </c>
      <c r="D8">
        <f>MarketCap!B31</f>
        <v>15997.8</v>
      </c>
      <c r="E8" t="s">
        <v>46</v>
      </c>
      <c r="L8" s="5">
        <f t="shared" si="0"/>
        <v>2.7336888471944008</v>
      </c>
    </row>
    <row r="9" spans="1:12" x14ac:dyDescent="0.25">
      <c r="A9">
        <v>7</v>
      </c>
      <c r="B9" t="s">
        <v>68</v>
      </c>
      <c r="C9">
        <v>1</v>
      </c>
      <c r="D9">
        <f>MarketCap!B20</f>
        <v>3458.9</v>
      </c>
      <c r="E9" t="s">
        <v>80</v>
      </c>
      <c r="L9" s="5">
        <f t="shared" si="0"/>
        <v>0.59105354195956405</v>
      </c>
    </row>
    <row r="10" spans="1:12" x14ac:dyDescent="0.25">
      <c r="A10">
        <v>8</v>
      </c>
      <c r="B10" t="s">
        <v>61</v>
      </c>
      <c r="C10">
        <v>3</v>
      </c>
      <c r="D10">
        <f>MarketCap!B8+MarketCap!B9+MarketCap!B38</f>
        <v>14370.85</v>
      </c>
      <c r="E10" t="s">
        <v>78</v>
      </c>
      <c r="F10" t="s">
        <v>79</v>
      </c>
      <c r="G10" t="s">
        <v>29</v>
      </c>
      <c r="L10" s="5">
        <f t="shared" si="0"/>
        <v>2.4556771787185525</v>
      </c>
    </row>
    <row r="11" spans="1:12" x14ac:dyDescent="0.25">
      <c r="A11">
        <v>9</v>
      </c>
      <c r="B11" t="s">
        <v>62</v>
      </c>
      <c r="C11">
        <v>3</v>
      </c>
      <c r="D11">
        <f>MarketCap!B16+MarketCap!B29+MarketCap!B30</f>
        <v>269339.5</v>
      </c>
      <c r="E11" t="s">
        <v>76</v>
      </c>
      <c r="F11" t="s">
        <v>77</v>
      </c>
      <c r="G11" t="s">
        <v>45</v>
      </c>
      <c r="L11" s="5">
        <f t="shared" si="0"/>
        <v>46.024477569348058</v>
      </c>
    </row>
    <row r="12" spans="1:12" x14ac:dyDescent="0.25">
      <c r="A12">
        <v>10</v>
      </c>
      <c r="B12" t="s">
        <v>63</v>
      </c>
      <c r="C12">
        <v>3</v>
      </c>
      <c r="D12">
        <f>MarketCap!B14+MarketCap!B15+MarketCap!B27</f>
        <v>21894.65</v>
      </c>
      <c r="E12" s="4" t="s">
        <v>38</v>
      </c>
      <c r="F12" s="4" t="s">
        <v>75</v>
      </c>
      <c r="G12" t="s">
        <v>39</v>
      </c>
      <c r="L12" s="5">
        <f t="shared" si="0"/>
        <v>3.7413369662219114</v>
      </c>
    </row>
    <row r="13" spans="1:12" x14ac:dyDescent="0.25">
      <c r="A13">
        <v>11</v>
      </c>
      <c r="B13" t="s">
        <v>64</v>
      </c>
      <c r="C13">
        <v>1</v>
      </c>
      <c r="D13">
        <f>MarketCap!B41</f>
        <v>8171.7</v>
      </c>
      <c r="E13" t="s">
        <v>74</v>
      </c>
      <c r="L13" s="5">
        <f t="shared" si="0"/>
        <v>1.3963723232330998</v>
      </c>
    </row>
    <row r="14" spans="1:12" x14ac:dyDescent="0.25">
      <c r="A14">
        <v>12</v>
      </c>
      <c r="B14" t="s">
        <v>67</v>
      </c>
      <c r="C14">
        <v>1</v>
      </c>
      <c r="D14">
        <f>MarketCap!B12</f>
        <v>10115.629999999999</v>
      </c>
      <c r="E14" t="s">
        <v>35</v>
      </c>
      <c r="L14" s="5">
        <f t="shared" si="0"/>
        <v>1.7285492326035514</v>
      </c>
    </row>
    <row r="15" spans="1:12" x14ac:dyDescent="0.25">
      <c r="A15">
        <v>13</v>
      </c>
      <c r="B15" t="s">
        <v>71</v>
      </c>
      <c r="C15">
        <v>5</v>
      </c>
      <c r="D15">
        <f>MarketCap!B28+MarketCap!B26+MarketCap!B21+MarketCap!B17+MarketCap!B7+MarketCap!B32</f>
        <v>35574.04</v>
      </c>
      <c r="E15" t="s">
        <v>26</v>
      </c>
      <c r="F15" t="s">
        <v>23</v>
      </c>
      <c r="G15" t="s">
        <v>37</v>
      </c>
      <c r="H15" s="8" t="s">
        <v>50</v>
      </c>
      <c r="I15" t="s">
        <v>73</v>
      </c>
      <c r="J15" s="4" t="s">
        <v>91</v>
      </c>
      <c r="L15" s="5">
        <f t="shared" si="0"/>
        <v>6.078858117844173</v>
      </c>
    </row>
    <row r="16" spans="1:12" x14ac:dyDescent="0.25">
      <c r="C16">
        <f>SUM(C3:C15)</f>
        <v>40</v>
      </c>
      <c r="D16">
        <f>SUM(D3:D15)</f>
        <v>585209.25</v>
      </c>
      <c r="L16" s="5">
        <f>SUM(L3:L15)</f>
        <v>100.00000000000001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MarketCap</vt:lpstr>
      <vt:lpstr>Sectors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sudheendra</dc:creator>
  <cp:lastModifiedBy>sudheendra</cp:lastModifiedBy>
  <dcterms:created xsi:type="dcterms:W3CDTF">2016-06-17T12:06:57Z</dcterms:created>
  <dcterms:modified xsi:type="dcterms:W3CDTF">2016-08-13T02:38:55Z</dcterms:modified>
</cp:coreProperties>
</file>